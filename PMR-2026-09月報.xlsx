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1092144c2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報總覽" sheetId="1" r:id="R6690263239154844"/>
    <x:sheet xmlns:r="http://schemas.openxmlformats.org/officeDocument/2006/relationships" name="客戶狀態" sheetId="2" r:id="R7bc7f08052784d0b"/>
    <x:sheet xmlns:r="http://schemas.openxmlformats.org/officeDocument/2006/relationships" name="訂單明細" sheetId="3" r:id="R1d954a670ed04b2b"/>
    <x:sheet xmlns:r="http://schemas.openxmlformats.org/officeDocument/2006/relationships" name="分潤明細" sheetId="4" r:id="Rf9b9d659643e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-yy"/>
    <x:numFmt numFmtId="201" formatCode="&quot;$&quot;#,##0;[Red](&quot;$&quot;#,##0);-"/>
    <x:numFmt numFmtId="202" formatCode="#,##0"/>
  </x:numFmts>
  <x:fonts count="12">
    <x:font>
      <x:sz val="11"/>
      <x:name val="Carlito"/>
    </x:font>
    <x:font>
      <x:sz val="9"/>
      <x:color rgb="FF1F2F2D"/>
      <x:name val="Arial"/>
    </x:font>
    <x:font>
      <x:b/>
      <x:sz val="15"/>
      <x:color rgb="FF173E3A"/>
      <x:name val="Arial"/>
    </x:font>
    <x:font>
      <x:i/>
      <x:sz val="9"/>
      <x:color rgb="FF6E7C79"/>
      <x:name val="Arial"/>
    </x:font>
    <x:font>
      <x:b/>
      <x:sz val="9"/>
      <x:color rgb="FFFFFFFF"/>
      <x:name val="Arial"/>
    </x:font>
    <x:font>
      <x:sz val="10"/>
      <x:color rgb="FF1F2F2D"/>
      <x:name val="Arial"/>
    </x:font>
    <x:font>
      <x:b/>
      <x:sz val="16"/>
      <x:color rgb="FF173E3A"/>
      <x:name val="Arial"/>
    </x:font>
    <x:font>
      <x:b/>
      <x:sz val="9"/>
      <x:color rgb="FF173E3A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b/>
      <x:sz val="9"/>
      <x:color rgb="FF4A3F4B"/>
      <x:name val="Arial"/>
    </x:font>
    <x:font>
      <x:b/>
      <x:sz val="9"/>
      <x:color rgb="FF5E4C2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E3A"/>
      </x:patternFill>
    </x:fill>
    <x:fill>
      <x:patternFill patternType="solid">
        <x:fgColor rgb="FFFFF8E8"/>
      </x:patternFill>
    </x:fill>
    <x:fill>
      <x:patternFill patternType="solid">
        <x:fgColor rgb="FF4C7A72"/>
      </x:patternFill>
    </x:fill>
    <x:fill>
      <x:patternFill patternType="solid">
        <x:fgColor rgb="FF765A70"/>
      </x:patternFill>
    </x:fill>
    <x:fill>
      <x:patternFill patternType="solid">
        <x:fgColor rgb="FFFFF0C7"/>
      </x:patternFill>
    </x:fill>
    <x:fill>
      <x:patternFill patternType="solid">
        <x:fgColor rgb="FFF6F2E8"/>
      </x:patternFill>
    </x:fill>
    <x:fill>
      <x:patternFill patternType="solid">
        <x:fgColor rgb="FF9A7438"/>
      </x:patternFill>
    </x:fill>
    <x:fill>
      <x:patternFill patternType="solid">
        <x:fgColor rgb="FFEAE3ED"/>
      </x:patternFill>
    </x:fill>
    <x:fill>
      <x:patternFill patternType="solid">
        <x:fgColor rgb="FFEEE7D9"/>
      </x:patternFill>
    </x:fill>
  </x:fills>
  <x:borders count="4">
    <x:border/>
    <x:border>
      <x:bottom style="thin">
        <x:color rgb="FFE4E7E1"/>
      </x:bottom>
    </x:border>
    <x:border>
      <x:top style="thin">
        <x:color rgb="FFE4E7E1"/>
      </x:top>
      <x:bottom style="thin">
        <x:color rgb="FFE4E7E1"/>
      </x:bottom>
    </x:border>
    <x:border>
      <x:top style="thin">
        <x:color rgb="FFE4E7E1"/>
      </x:top>
    </x:border>
  </x:borders>
  <x:cellStyleXfs count="1">
    <x:xf numFmtId="0" fontId="0" fillId="0" borderId="0"/>
  </x:cellStyleXfs>
  <x:cellXfs count="10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200" fontId="1" fillId="3" borderId="2" xfId="0" applyNumberFormat="1" applyFont="1" applyFill="1" applyBorder="1"/>
    <x:xf numFmtId="0" fontId="1" fillId="3" borderId="2" xfId="0" applyNumberFormat="1" applyFont="1" applyFill="1" applyBorder="1"/>
    <x:xf numFmtId="202" fontId="1" fillId="3" borderId="2" xfId="0" applyNumberFormat="1" applyFont="1" applyFill="1" applyBorder="1"/>
    <x:xf numFmtId="202" fontId="1" fillId="0" borderId="2" xfId="0" applyNumberFormat="1" applyFont="1" applyFill="1" applyBorder="1"/>
    <x:xf numFmtId="201" fontId="1" fillId="3" borderId="2" xfId="0" applyNumberFormat="1" applyFont="1" applyFill="1" applyBorder="1"/>
    <x:xf numFmtId="201" fontId="1" fillId="0" borderId="2" xfId="0" applyNumberFormat="1" applyFont="1" applyFill="1" applyBorder="1"/>
    <x:xf numFmtId="200" fontId="1" fillId="3" borderId="3" xfId="0" applyNumberFormat="1" applyFont="1" applyFill="1" applyBorder="1"/>
    <x:xf numFmtId="0" fontId="1" fillId="3" borderId="3" xfId="0" applyNumberFormat="1" applyFont="1" applyFill="1" applyBorder="1"/>
    <x:xf numFmtId="202" fontId="1" fillId="3" borderId="3" xfId="0" applyNumberFormat="1" applyFont="1" applyFill="1" applyBorder="1"/>
    <x:xf numFmtId="202" fontId="1" fillId="0" borderId="3" xfId="0" applyNumberFormat="1" applyFont="1" applyFill="1" applyBorder="1"/>
    <x:xf numFmtId="201" fontId="1" fillId="3" borderId="3" xfId="0" applyNumberFormat="1" applyFont="1" applyFill="1" applyBorder="1"/>
    <x:xf numFmtId="201" fontId="1" fillId="0" borderId="3" xfId="0" applyNumberFormat="1" applyFont="1" applyFill="1" applyBorder="1"/>
    <x:xf numFmtId="20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2" fontId="1" fillId="3" borderId="3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5" fillId="6" borderId="0" xfId="0" applyNumberFormat="1" applyFont="1" applyFill="1" applyBorder="1"/>
    <x:xf numFmtId="200" fontId="8" fillId="6" borderId="0" xfId="0" applyNumberFormat="1" applyFont="1" applyFill="1" applyBorder="1"/>
    <x:xf numFmtId="200" fontId="8" fillId="6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201" fontId="2" fillId="7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9" fillId="5" borderId="0" xfId="0" applyNumberFormat="1" applyFont="1" applyFill="1" applyBorder="1"/>
    <x:xf numFmtId="0" fontId="5" fillId="8" borderId="0" xfId="0" applyNumberFormat="1" applyFont="1" applyFill="1" applyBorder="1"/>
    <x:xf numFmtId="0" fontId="9" fillId="8" borderId="0" xfId="0" applyNumberFormat="1" applyFont="1" applyFill="1" applyBorder="1"/>
    <x:xf numFmtId="0" fontId="5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0" fontId="10" fillId="9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11" fillId="10" borderId="1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/>
    <x:xf numFmtId="201" fontId="5" fillId="2" borderId="3" xfId="0" applyNumberFormat="1" applyFont="1" applyFill="1" applyBorder="1"/>
    <x:xf numFmtId="0" fontId="9" fillId="2" borderId="3" xfId="0" applyNumberFormat="1" applyFont="1" applyFill="1" applyBorder="1"/>
    <x:xf numFmtId="201" fontId="9" fillId="2" borderId="3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10" fillId="9" borderId="1" xfId="0" applyNumberFormat="1" applyFont="1" applyFill="1" applyBorder="1" applyAlignment="1">
      <x:alignment horizontal="center" vertical="center"/>
    </x:xf>
    <x:xf numFmtId="0" fontId="11" fillId="10" borderId="1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0" fontId="9" fillId="2" borderId="3" xfId="0" applyNumberFormat="1" applyFont="1" applyFill="1" applyBorder="1" applyAlignment="1">
      <x:alignment vertical="center"/>
    </x:xf>
    <x:xf numFmtId="201" fontId="9" fillId="2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B85E50"/>
      </x:font>
      <x:fill>
        <x:patternFill patternType="solid">
          <x:bgColor rgb="FFF5DFDA"/>
        </x:patternFill>
      </x:fill>
    </x:dxf>
    <x:dxf>
      <x:font>
        <x:b/>
        <x:color rgb="FF8A5A16"/>
      </x:font>
      <x:fill>
        <x:patternFill patternType="solid">
          <x:bgColor rgb="FFFCE8D2"/>
        </x:patternFill>
      </x:fill>
    </x:dxf>
    <x:dxf>
      <x:font>
        <x:b/>
        <x:color rgb="FF1D8C61"/>
      </x:font>
      <x:fill>
        <x:patternFill patternType="solid">
          <x:bgColor rgb="FFDFF0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0453cb6a34731" /><Relationship Type="http://schemas.openxmlformats.org/officeDocument/2006/relationships/theme" Target="/xl/theme/theme1.xml" Id="Rd2cade29159e4522" /><Relationship Type="http://schemas.openxmlformats.org/officeDocument/2006/relationships/sharedStrings" Target="/xl/sharedStrings.xml" Id="Rd7d00c6db9d24ff1" /><Relationship Type="http://schemas.openxmlformats.org/officeDocument/2006/relationships/worksheet" Target="/xl/worksheets/sheet1.xml" Id="R6690263239154844" /><Relationship Type="http://schemas.openxmlformats.org/officeDocument/2006/relationships/worksheet" Target="/xl/worksheets/sheet2.xml" Id="R7bc7f08052784d0b" /><Relationship Type="http://schemas.openxmlformats.org/officeDocument/2006/relationships/worksheet" Target="/xl/worksheets/sheet3.xml" Id="R1d954a670ed04b2b" /><Relationship Type="http://schemas.openxmlformats.org/officeDocument/2006/relationships/worksheet" Target="/xl/worksheets/sheet4.xml" Id="Rf9b9d659643e48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E3A"/>
  </x:sheetPr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19.200000762939453" hidden="0" customHeight="1">
      <x:c r="A1" s="93" t="str">
        <x:v>PMR 月報與分潤結算</x:v>
      </x:c>
      <x:c r="B1" s="93"/>
      <x:c r="C1" s="93"/>
      <x:c r="D1" s="93"/>
      <x:c r="E1" s="93"/>
      <x:c r="F1" s="93"/>
      <x:c r="G1" s="93"/>
      <x:c r="H1" s="93"/>
    </x:row>
    <x:row r="2" ht="15" hidden="0" customHeight="1">
      <x:c r="A2" s="94" t="str">
        <x:v>本页由订单明细与分润明细自动汇总。修改黄色输入栏位后，月报会重新计算。</x:v>
      </x:c>
      <x:c r="B2" s="94"/>
      <x:c r="C2" s="94"/>
      <x:c r="D2" s="94"/>
      <x:c r="E2" s="94"/>
      <x:c r="F2" s="94"/>
      <x:c r="G2" s="94"/>
      <x:c r="H2" s="94"/>
    </x:row>
    <x:row r="3" ht="15" hidden="0" customHeight="1">
      <x:c r="A3" s="95"/>
      <x:c r="B3" s="95"/>
      <x:c r="C3" s="95"/>
      <x:c r="D3" s="95"/>
      <x:c r="E3" s="95"/>
      <x:c r="F3" s="95"/>
      <x:c r="G3" s="95"/>
      <x:c r="H3" s="95"/>
    </x:row>
    <x:row r="4" ht="15" hidden="0" customHeight="1">
      <x:c r="A4" s="96" t="str">
        <x:v>結算月份</x:v>
      </x:c>
      <x:c r="B4" s="97" t="n">
        <x:v>46266</x:v>
      </x:c>
      <x:c r="C4" s="95"/>
      <x:c r="D4" s="95"/>
      <x:c r="E4" s="95"/>
      <x:c r="F4" s="95"/>
      <x:c r="G4" s="95"/>
      <x:c r="H4" s="95"/>
    </x:row>
    <x:row r="5" ht="15" hidden="0" customHeight="1">
      <x:c r="A5" s="95"/>
      <x:c r="B5" s="95"/>
      <x:c r="C5" s="95"/>
      <x:c r="D5" s="95"/>
      <x:c r="E5" s="95"/>
      <x:c r="F5" s="95"/>
      <x:c r="G5" s="95"/>
      <x:c r="H5" s="95"/>
    </x:row>
    <x:row r="6" ht="15" hidden="0" customHeight="1">
      <x:c r="A6" s="66" t="str">
        <x:v>已確認訂單</x:v>
      </x:c>
      <x:c r="B6" s="66" t="str"/>
      <x:c r="C6" s="66" t="str">
        <x:v>已確認實收</x:v>
      </x:c>
      <x:c r="D6" s="66" t="str"/>
      <x:c r="E6" s="66" t="str">
        <x:v>方案成本</x:v>
      </x:c>
      <x:c r="F6" s="66" t="str"/>
      <x:c r="G6" s="66" t="str">
        <x:v>本月毛利</x:v>
      </x:c>
      <x:c r="H6" s="66" t="str"/>
    </x:row>
    <x:row r="7">
      <x:c r="A7" s="70" t="n">
        <x:f>COUNTIFS('訂單明細'!$A$5:$A$100,$B$4,'訂單明細'!$AC$5:$AC$100,"是")</x:f>
        <x:v>3</x:v>
      </x:c>
      <x:c r="B7" s="70"/>
      <x:c r="C7" s="71" t="n">
        <x:f>SUMIFS('訂單明細'!$S$5:$S$100,'訂單明細'!$A$5:$A$100,$B$4,'訂單明細'!$AC$5:$AC$100,"是")</x:f>
        <x:v>172551</x:v>
      </x:c>
      <x:c r="D7" s="71"/>
      <x:c r="E7" s="71" t="n">
        <x:f>SUMIFS('訂單明細'!$T$5:$T$100,'訂單明細'!$A$5:$A$100,$B$4,'訂單明細'!$AC$5:$AC$100,"是")</x:f>
        <x:v>103800</x:v>
      </x:c>
      <x:c r="F7" s="71"/>
      <x:c r="G7" s="71" t="n">
        <x:f>SUMIFS('訂單明細'!$Y$5:$Y$100,'訂單明細'!$A$5:$A$100,$B$4,'訂單明細'!$AC$5:$AC$100,"是")</x:f>
        <x:v>64951</x:v>
      </x:c>
      <x:c r="H7" s="71"/>
    </x:row>
    <x:row r="8">
      <x:c r="A8" s="70"/>
      <x:c r="B8" s="70"/>
      <x:c r="C8" s="71"/>
      <x:c r="D8" s="71"/>
      <x:c r="E8" s="71"/>
      <x:c r="F8" s="71"/>
      <x:c r="G8" s="71"/>
      <x:c r="H8" s="71"/>
    </x:row>
    <x:row r="9" ht="15" hidden="0" customHeight="1">
      <x:c r="A9" s="95"/>
      <x:c r="B9" s="95"/>
      <x:c r="C9" s="95"/>
      <x:c r="D9" s="95"/>
      <x:c r="E9" s="95"/>
      <x:c r="F9" s="95"/>
      <x:c r="G9" s="95"/>
      <x:c r="H9" s="95"/>
    </x:row>
    <x:row r="10" ht="15" hidden="0" customHeight="1">
      <x:c r="A10" s="98" t="str">
        <x:v>本月應付</x:v>
      </x:c>
      <x:c r="B10" s="98"/>
      <x:c r="C10" s="98"/>
      <x:c r="D10" s="98"/>
      <x:c r="E10" s="95"/>
      <x:c r="F10" s="99" t="str">
        <x:v>成本與利潤</x:v>
      </x:c>
      <x:c r="G10" s="99"/>
      <x:c r="H10" s="99"/>
    </x:row>
    <x:row r="11" ht="15" hidden="0" customHeight="1">
      <x:c r="A11" s="100" t="str">
        <x:v>收款人</x:v>
      </x:c>
      <x:c r="B11" s="100" t="str">
        <x:v>類型</x:v>
      </x:c>
      <x:c r="C11" s="100" t="str">
        <x:v>應付金額</x:v>
      </x:c>
      <x:c r="D11" s="100" t="str">
        <x:v>付款狀態</x:v>
      </x:c>
      <x:c r="E11" s="95"/>
      <x:c r="F11" s="101" t="str">
        <x:v>項目</x:v>
      </x:c>
      <x:c r="G11" s="101" t="str">
        <x:v>金額</x:v>
      </x:c>
      <x:c r="H11" s="95"/>
    </x:row>
    <x:row r="12" ht="15" hidden="0" customHeight="1">
      <x:c r="A12" s="102" t="str">
        <x:f>'分潤明細'!B5</x:f>
        <x:v>Mina</x:v>
      </x:c>
      <x:c r="B12" s="102" t="str">
        <x:f>'分潤明細'!C5</x:f>
        <x:v>客服費</x:v>
      </x:c>
      <x:c r="C12" s="103" t="n">
        <x:f>'分潤明細'!D5</x:f>
        <x:v>5000</x:v>
      </x:c>
      <x:c r="D12" s="102" t="str">
        <x:f>'分潤明細'!E5</x:f>
        <x:v>未支付</x:v>
      </x:c>
      <x:c r="E12" s="95"/>
      <x:c r="F12" s="102" t="str">
        <x:v>已確認實收</x:v>
      </x:c>
      <x:c r="G12" s="103" t="n">
        <x:f>SUMIFS('訂單明細'!$S$5:$S$100,'訂單明細'!$A$5:$A$100,$B$4,'訂單明細'!$AC$5:$AC$100,"是")</x:f>
        <x:v>172551</x:v>
      </x:c>
      <x:c r="H12" s="95"/>
    </x:row>
    <x:row r="13" ht="15" hidden="0" customHeight="1">
      <x:c r="A13" s="102" t="str">
        <x:f>'分潤明細'!B6</x:f>
        <x:v>Ary</x:v>
      </x:c>
      <x:c r="B13" s="102" t="str">
        <x:f>'分潤明細'!C6</x:f>
        <x:v>客服費</x:v>
      </x:c>
      <x:c r="C13" s="103" t="n">
        <x:f>'分潤明細'!D6</x:f>
        <x:v>2000</x:v>
      </x:c>
      <x:c r="D13" s="102" t="str">
        <x:f>'分潤明細'!E6</x:f>
        <x:v>未支付</x:v>
      </x:c>
      <x:c r="E13" s="95"/>
      <x:c r="F13" s="102" t="str">
        <x:v>方案成本</x:v>
      </x:c>
      <x:c r="G13" s="103" t="n">
        <x:f>-SUMIFS('訂單明細'!$T$5:$T$100,'訂單明細'!$A$5:$A$100,$B$4,'訂單明細'!$AC$5:$AC$100,"是")</x:f>
        <x:v>-103800</x:v>
      </x:c>
      <x:c r="H13" s="95"/>
    </x:row>
    <x:row r="14" ht="15" hidden="0" customHeight="1">
      <x:c r="A14" s="102" t="str">
        <x:f>'分潤明細'!B7</x:f>
        <x:v>旅行好友</x:v>
      </x:c>
      <x:c r="B14" s="102" t="str">
        <x:f>'分潤明細'!C7</x:f>
        <x:v>介紹人分潤</x:v>
      </x:c>
      <x:c r="C14" s="103" t="n">
        <x:f>'分潤明細'!D7</x:f>
        <x:v>10888</x:v>
      </x:c>
      <x:c r="D14" s="102" t="str">
        <x:f>'分潤明細'!E7</x:f>
        <x:v>未支付</x:v>
      </x:c>
      <x:c r="E14" s="95"/>
      <x:c r="F14" s="102" t="str">
        <x:v>客服費</x:v>
      </x:c>
      <x:c r="G14" s="103" t="n">
        <x:f>-SUMIFS('訂單明細'!$U$5:$U$100,'訂單明細'!$A$5:$A$100,$B$4,'訂單明細'!$AC$5:$AC$100,"是")</x:f>
        <x:v>-7000</x:v>
      </x:c>
      <x:c r="H14" s="95"/>
    </x:row>
    <x:row r="15" ht="15" hidden="0" customHeight="1">
      <x:c r="A15" s="102" t="str">
        <x:f>'分潤明細'!B8</x:f>
        <x:v>Penny</x:v>
      </x:c>
      <x:c r="B15" s="102" t="str">
        <x:f>'分潤明細'!C8</x:f>
        <x:v>介紹人分潤</x:v>
      </x:c>
      <x:c r="C15" s="103" t="n">
        <x:f>'分潤明細'!D8</x:f>
        <x:v>4488</x:v>
      </x:c>
      <x:c r="D15" s="102" t="str">
        <x:f>'分潤明細'!E8</x:f>
        <x:v>未支付</x:v>
      </x:c>
      <x:c r="E15" s="95"/>
      <x:c r="F15" s="102" t="str">
        <x:v>加購收入</x:v>
      </x:c>
      <x:c r="G15" s="103" t="n">
        <x:f>SUMIFS('訂單明細'!$V$5:$V$100,'訂單明細'!$A$5:$A$100,$B$4,'訂單明細'!$AC$5:$AC$100,"是")</x:f>
        <x:v>7000</x:v>
      </x:c>
      <x:c r="H15" s="95"/>
    </x:row>
    <x:row r="16" ht="15" hidden="0" customHeight="1">
      <x:c r="A16" s="102" t="str">
        <x:f>'分潤明細'!B9</x:f>
        <x:v>Ary</x:v>
      </x:c>
      <x:c r="B16" s="102" t="str">
        <x:f>'分潤明細'!C9</x:f>
        <x:v>介紹人分潤</x:v>
      </x:c>
      <x:c r="C16" s="103" t="n">
        <x:f>'分潤明細'!D9</x:f>
        <x:v>15499</x:v>
      </x:c>
      <x:c r="D16" s="102" t="str">
        <x:f>'分潤明細'!E9</x:f>
        <x:v>未支付</x:v>
      </x:c>
      <x:c r="E16" s="95"/>
      <x:c r="F16" s="102" t="str">
        <x:v>加購成本</x:v>
      </x:c>
      <x:c r="G16" s="103" t="n">
        <x:f>-SUMIFS('訂單明細'!$W$5:$W$100,'訂單明細'!$A$5:$A$100,$B$4,'訂單明細'!$AC$5:$AC$100,"是")</x:f>
        <x:v>-3800</x:v>
      </x:c>
      <x:c r="H16" s="95"/>
    </x:row>
    <x:row r="17" ht="15" hidden="0" customHeight="1">
      <x:c r="A17" s="104" t="str">
        <x:f>'分潤明細'!B10</x:f>
        <x:v>傑評／資源方</x:v>
      </x:c>
      <x:c r="B17" s="104" t="str">
        <x:f>'分潤明細'!C10</x:f>
        <x:v>資源方分潤</x:v>
      </x:c>
      <x:c r="C17" s="105" t="n">
        <x:f>'分潤明細'!D10</x:f>
        <x:v>30875</x:v>
      </x:c>
      <x:c r="D17" s="104" t="str">
        <x:f>'分潤明細'!E10</x:f>
        <x:v>未支付</x:v>
      </x:c>
      <x:c r="E17" s="95"/>
      <x:c r="F17" s="102" t="str">
        <x:v>介紹人分潤</x:v>
      </x:c>
      <x:c r="G17" s="103" t="n">
        <x:f>-SUMIFS('訂單明細'!$Z$5:$Z$100,'訂單明細'!$A$5:$A$100,$B$4,'訂單明細'!$AC$5:$AC$100,"是")</x:f>
        <x:v>-30875</x:v>
      </x:c>
      <x:c r="H17" s="95"/>
    </x:row>
    <x:row r="18" ht="15" hidden="0" customHeight="1">
      <x:c r="A18" s="95"/>
      <x:c r="B18" s="95"/>
      <x:c r="C18" s="95"/>
      <x:c r="D18" s="95"/>
      <x:c r="E18" s="95"/>
      <x:c r="F18" s="102" t="str">
        <x:v>資源方分潤</x:v>
      </x:c>
      <x:c r="G18" s="103" t="n">
        <x:f>-SUMIFS('訂單明細'!$AA$5:$AA$100,'訂單明細'!$A$5:$A$100,$B$4,'訂單明細'!$AC$5:$AC$100,"是")</x:f>
        <x:v>-30875</x:v>
      </x:c>
      <x:c r="H18" s="95"/>
    </x:row>
    <x:row r="19" ht="15" hidden="0" customHeight="1">
      <x:c r="A19" s="95"/>
      <x:c r="B19" s="95"/>
      <x:c r="C19" s="95"/>
      <x:c r="D19" s="95"/>
      <x:c r="E19" s="95"/>
      <x:c r="F19" s="106" t="str">
        <x:v>未分配差額</x:v>
      </x:c>
      <x:c r="G19" s="107" t="n">
        <x:f>SUMIFS('訂單明細'!$AB$5:$AB$100,'訂單明細'!$A$5:$A$100,$B$4,'訂單明細'!$AC$5:$AC$100,"是")</x:f>
        <x:v>3201</x:v>
      </x:c>
      <x:c r="H19" s="95"/>
    </x:row>
  </x:sheetData>
  <x:mergeCells>
    <x:mergeCell ref="A1:H1"/>
    <x:mergeCell ref="A2:H2"/>
    <x:mergeCell ref="A6:B6"/>
    <x:mergeCell ref="C6:D6"/>
    <x:mergeCell ref="E6:F6"/>
    <x:mergeCell ref="G6:H6"/>
    <x:mergeCell ref="A7:B8"/>
    <x:mergeCell ref="C7:D8"/>
    <x:mergeCell ref="E7:F8"/>
    <x:mergeCell ref="G7:H8"/>
    <x:mergeCell ref="A10:D10"/>
    <x:mergeCell ref="F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C7A7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78000020980835" hidden="0" customWidth="1"/>
    <x:col min="2" max="2" width="5.889999866485596" hidden="0" customWidth="1"/>
    <x:col min="3" max="3" width="9.329999923706055" hidden="0" customWidth="1"/>
    <x:col min="4" max="4" width="8.5600004196167" hidden="0" customWidth="1"/>
    <x:col min="5" max="5" width="8.779999732971191" hidden="0" customWidth="1"/>
    <x:col min="6" max="6" width="5.889999866485596" hidden="0" customWidth="1"/>
    <x:col min="7" max="7" width="4.559999942779541" hidden="0" customWidth="1"/>
    <x:col min="8" max="8" width="5.889999866485596" hidden="0" customWidth="1"/>
    <x:col min="9" max="9" width="4.559999942779541" hidden="0" customWidth="1"/>
    <x:col min="10" max="10" width="4.559999942779541" hidden="0" customWidth="1"/>
    <x:col min="11" max="11" width="3.2200000286102295" hidden="0" customWidth="1"/>
    <x:col min="12" max="12" width="4.559999942779541" hidden="0" customWidth="1"/>
    <x:col min="13" max="13" width="5.889999866485596" hidden="0" customWidth="1"/>
    <x:col min="14" max="14" width="24" hidden="0" customWidth="1"/>
  </x:cols>
  <x:sheetData>
    <x:row r="1" ht="18" hidden="0" customHeight="1">
      <x:c r="A1" s="8" t="str">
        <x:v>PMR 客戶狀態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15" hidden="0" customHeight="1">
      <x:c r="A2" s="9" t="str">
        <x:v>客戶編號是永久主鍵。LINE 換帳號只更新綁定，不改訂單、付款與額度。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/>
    <x:row r="4" ht="15" hidden="0" customHeight="1">
      <x:c r="A4" s="49" t="str">
        <x:v>客戶編號</x:v>
      </x:c>
      <x:c r="B4" s="49" t="str">
        <x:v>真實姓名</x:v>
      </x:c>
      <x:c r="C4" s="49" t="str">
        <x:v>LINE 顯示名稱</x:v>
      </x:c>
      <x:c r="D4" s="49" t="str">
        <x:v>LINE user ID</x:v>
      </x:c>
      <x:c r="E4" s="49" t="str">
        <x:v>電話</x:v>
      </x:c>
      <x:c r="F4" s="49" t="str">
        <x:v>帳號狀態</x:v>
      </x:c>
      <x:c r="G4" s="49" t="str">
        <x:v>訂單數</x:v>
      </x:c>
      <x:c r="H4" s="49" t="str">
        <x:v>購買張數</x:v>
      </x:c>
      <x:c r="I4" s="49" t="str">
        <x:v>處理中</x:v>
      </x:c>
      <x:c r="J4" s="49" t="str">
        <x:v>已出票</x:v>
      </x:c>
      <x:c r="K4" s="49" t="str">
        <x:v>退款</x:v>
      </x:c>
      <x:c r="L4" s="49" t="str">
        <x:v>可使用</x:v>
      </x:c>
      <x:c r="M4" s="49" t="str">
        <x:v>付款狀態</x:v>
      </x:c>
      <x:c r="N4" s="49" t="str">
        <x:v>文件／出票狀態</x:v>
      </x:c>
    </x:row>
    <x:row r="5" ht="15" hidden="0" customHeight="1">
      <x:c r="A5" s="21" t="str">
        <x:v>CUS-0001</x:v>
      </x:c>
      <x:c r="B5" s="21" t="str">
        <x:v>王小姐</x:v>
      </x:c>
      <x:c r="C5" s="21" t="str">
        <x:v>Yvonne</x:v>
      </x:c>
      <x:c r="D5" s="21" t="str">
        <x:v>demo-yvonne</x:v>
      </x:c>
      <x:c r="E5" s="21" t="str">
        <x:v>0912-345-678</x:v>
      </x:c>
      <x:c r="F5" s="21" t="str">
        <x:v>正常</x:v>
      </x:c>
      <x:c r="G5" s="50" t="n">
        <x:f>COUNTIFS('訂單明細'!$C$5:$C$100,$A5)</x:f>
        <x:v>1</x:v>
      </x:c>
      <x:c r="H5" s="50" t="n">
        <x:f>SUMIFS('訂單明細'!$N$5:$N$100,'訂單明細'!$C$5:$C$100,$A5)</x:f>
        <x:v>8</x:v>
      </x:c>
      <x:c r="I5" s="50" t="n">
        <x:f>SUMIFS('訂單明細'!$O$5:$O$100,'訂單明細'!$C$5:$C$100,$A5)</x:f>
        <x:v>1</x:v>
      </x:c>
      <x:c r="J5" s="50" t="n">
        <x:f>SUMIFS('訂單明細'!$P$5:$P$100,'訂單明細'!$C$5:$C$100,$A5)</x:f>
        <x:v>2</x:v>
      </x:c>
      <x:c r="K5" s="50" t="n">
        <x:f>SUMIFS('訂單明細'!$Q$5:$Q$100,'訂單明細'!$C$5:$C$100,$A5)</x:f>
        <x:v>0</x:v>
      </x:c>
      <x:c r="L5" s="50" t="n">
        <x:f>SUMIFS('訂單明細'!$R$5:$R$100,'訂單明細'!$C$5:$C$100,$A5)</x:f>
        <x:v>5</x:v>
      </x:c>
      <x:c r="M5" s="50" t="str">
        <x:v>已確認</x:v>
      </x:c>
      <x:c r="N5" s="50" t="str">
        <x:v>缺 1 份護照／尚未出票</x:v>
      </x:c>
    </x:row>
    <x:row r="6" ht="15" hidden="0" customHeight="1">
      <x:c r="A6" s="21" t="str">
        <x:v>CUS-0002</x:v>
      </x:c>
      <x:c r="B6" s="21" t="str">
        <x:v>黃先生</x:v>
      </x:c>
      <x:c r="C6" s="21" t="str">
        <x:v>豆豆黃 Eric</x:v>
      </x:c>
      <x:c r="D6" s="21" t="str">
        <x:v>demo-eric</x:v>
      </x:c>
      <x:c r="E6" s="21" t="str">
        <x:v>0900-123-456</x:v>
      </x:c>
      <x:c r="F6" s="21" t="str">
        <x:v>正常</x:v>
      </x:c>
      <x:c r="G6" s="50" t="n">
        <x:f>COUNTIFS('訂單明細'!$C$5:$C$100,$A6)</x:f>
        <x:v>1</x:v>
      </x:c>
      <x:c r="H6" s="50" t="n">
        <x:f>SUMIFS('訂單明細'!$N$5:$N$100,'訂單明細'!$C$5:$C$100,$A6)</x:f>
        <x:v>4</x:v>
      </x:c>
      <x:c r="I6" s="50" t="n">
        <x:f>SUMIFS('訂單明細'!$O$5:$O$100,'訂單明細'!$C$5:$C$100,$A6)</x:f>
        <x:v>0</x:v>
      </x:c>
      <x:c r="J6" s="50" t="n">
        <x:f>SUMIFS('訂單明細'!$P$5:$P$100,'訂單明細'!$C$5:$C$100,$A6)</x:f>
        <x:v>0</x:v>
      </x:c>
      <x:c r="K6" s="50" t="n">
        <x:f>SUMIFS('訂單明細'!$Q$5:$Q$100,'訂單明細'!$C$5:$C$100,$A6)</x:f>
        <x:v>0</x:v>
      </x:c>
      <x:c r="L6" s="50" t="n">
        <x:f>SUMIFS('訂單明細'!$R$5:$R$100,'訂單明細'!$C$5:$C$100,$A6)</x:f>
        <x:v>0</x:v>
      </x:c>
      <x:c r="M6" s="50" t="str">
        <x:v>待匯款</x:v>
      </x:c>
      <x:c r="N6" s="50" t="str">
        <x:v>尚未補件／尚未出票</x:v>
      </x:c>
    </x:row>
    <x:row r="7" ht="15" hidden="0" customHeight="1">
      <x:c r="A7" s="21" t="str">
        <x:v>CUS-0003</x:v>
      </x:c>
      <x:c r="B7" s="21" t="str">
        <x:v>林小姐</x:v>
      </x:c>
      <x:c r="C7" s="21" t="str">
        <x:v>Alma</x:v>
      </x:c>
      <x:c r="D7" s="21" t="str">
        <x:v>demo-alma</x:v>
      </x:c>
      <x:c r="E7" s="21" t="str">
        <x:v>0988-000-112</x:v>
      </x:c>
      <x:c r="F7" s="21" t="str">
        <x:v>正常</x:v>
      </x:c>
      <x:c r="G7" s="50" t="n">
        <x:f>COUNTIFS('訂單明細'!$C$5:$C$100,$A7)</x:f>
        <x:v>1</x:v>
      </x:c>
      <x:c r="H7" s="50" t="n">
        <x:f>SUMIFS('訂單明細'!$N$5:$N$100,'訂單明細'!$C$5:$C$100,$A7)</x:f>
        <x:v>2</x:v>
      </x:c>
      <x:c r="I7" s="50" t="n">
        <x:f>SUMIFS('訂單明細'!$O$5:$O$100,'訂單明細'!$C$5:$C$100,$A7)</x:f>
        <x:v>2</x:v>
      </x:c>
      <x:c r="J7" s="50" t="n">
        <x:f>SUMIFS('訂單明細'!$P$5:$P$100,'訂單明細'!$C$5:$C$100,$A7)</x:f>
        <x:v>0</x:v>
      </x:c>
      <x:c r="K7" s="50" t="n">
        <x:f>SUMIFS('訂單明細'!$Q$5:$Q$100,'訂單明細'!$C$5:$C$100,$A7)</x:f>
        <x:v>0</x:v>
      </x:c>
      <x:c r="L7" s="50" t="n">
        <x:f>SUMIFS('訂單明細'!$R$5:$R$100,'訂單明細'!$C$5:$C$100,$A7)</x:f>
        <x:v>0</x:v>
      </x:c>
      <x:c r="M7" s="50" t="str">
        <x:v>已確認</x:v>
      </x:c>
      <x:c r="N7" s="50" t="str">
        <x:v>航班待補／待選航班</x:v>
      </x:c>
    </x:row>
    <x:row r="8" ht="15" hidden="0" customHeight="1">
      <x:c r="A8" s="27" t="str">
        <x:v>CUS-0004</x:v>
      </x:c>
      <x:c r="B8" s="27" t="str">
        <x:v>陳小姐</x:v>
      </x:c>
      <x:c r="C8" s="27" t="str">
        <x:v>璦 penny</x:v>
      </x:c>
      <x:c r="D8" s="27" t="str">
        <x:v>demo-penny</x:v>
      </x:c>
      <x:c r="E8" s="27" t="str">
        <x:v>0966-321-000</x:v>
      </x:c>
      <x:c r="F8" s="27" t="str">
        <x:v>正常</x:v>
      </x:c>
      <x:c r="G8" s="51" t="n">
        <x:f>COUNTIFS('訂單明細'!$C$5:$C$100,$A8)</x:f>
        <x:v>1</x:v>
      </x:c>
      <x:c r="H8" s="51" t="n">
        <x:f>SUMIFS('訂單明細'!$N$5:$N$100,'訂單明細'!$C$5:$C$100,$A8)</x:f>
        <x:v>4</x:v>
      </x:c>
      <x:c r="I8" s="51" t="n">
        <x:f>SUMIFS('訂單明細'!$O$5:$O$100,'訂單明細'!$C$5:$C$100,$A8)</x:f>
        <x:v>4</x:v>
      </x:c>
      <x:c r="J8" s="51" t="n">
        <x:f>SUMIFS('訂單明細'!$P$5:$P$100,'訂單明細'!$C$5:$C$100,$A8)</x:f>
        <x:v>0</x:v>
      </x:c>
      <x:c r="K8" s="51" t="n">
        <x:f>SUMIFS('訂單明細'!$Q$5:$Q$100,'訂單明細'!$C$5:$C$100,$A8)</x:f>
        <x:v>0</x:v>
      </x:c>
      <x:c r="L8" s="51" t="n">
        <x:f>SUMIFS('訂單明細'!$R$5:$R$100,'訂單明細'!$C$5:$C$100,$A8)</x:f>
        <x:v>0</x:v>
      </x:c>
      <x:c r="M8" s="51" t="str">
        <x:v>已確認</x:v>
      </x:c>
      <x:c r="N8" s="51" t="str">
        <x:v>資料已齊／準備出票</x:v>
      </x:c>
    </x:row>
  </x:sheetData>
  <x:mergeCells>
    <x:mergeCell ref="A1:N1"/>
    <x:mergeCell ref="A2:N2"/>
  </x:mergeCells>
  <x:dataValidations count="1">
    <x:dataValidation type="list" sqref="F5:F100">
      <x:formula1>"正常,待新帳號驗證,已封存,已刪除"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A7438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5.889999866485596" hidden="0" customWidth="1"/>
    <x:col min="2" max="2" width="18" hidden="0" customWidth="1"/>
    <x:col min="3" max="3" width="6.78000020980835" hidden="0" customWidth="1"/>
    <x:col min="4" max="4" width="14" hidden="0" customWidth="1"/>
    <x:col min="5" max="5" width="14" hidden="0" customWidth="1"/>
    <x:col min="6" max="6" width="5.88999986648559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5.889999866485596" hidden="0" customWidth="1"/>
    <x:col min="12" max="12" width="5.889999866485596" hidden="0" customWidth="1"/>
    <x:col min="13" max="13" width="4.559999942779541" hidden="0" customWidth="1"/>
    <x:col min="14" max="14" width="5.889999866485596" hidden="0" customWidth="1"/>
    <x:col min="15" max="15" width="4.559999942779541" hidden="0" customWidth="1"/>
    <x:col min="16" max="16" width="4.559999942779541" hidden="0" customWidth="1"/>
    <x:col min="17" max="17" width="3.2200000286102295" hidden="0" customWidth="1"/>
    <x:col min="18" max="18" width="4.559999942779541" hidden="0" customWidth="1"/>
    <x:col min="19" max="19" width="5.889999866485596" hidden="0" customWidth="1"/>
    <x:col min="20" max="20" width="5.889999866485596" hidden="0" customWidth="1"/>
    <x:col min="21" max="21" width="4.559999942779541" hidden="0" customWidth="1"/>
    <x:col min="22" max="22" width="5.889999866485596" hidden="0" customWidth="1"/>
    <x:col min="23" max="23" width="5.889999866485596" hidden="0" customWidth="1"/>
    <x:col min="24" max="24" width="5.889999866485596" hidden="0" customWidth="1"/>
    <x:col min="25" max="25" width="5.889999866485596" hidden="0" customWidth="1"/>
    <x:col min="26" max="26" width="7.329999923706055" hidden="0" customWidth="1"/>
    <x:col min="27" max="27" width="7.329999923706055" hidden="0" customWidth="1"/>
    <x:col min="28" max="28" width="7.329999923706055" hidden="0" customWidth="1"/>
    <x:col min="29" max="29" width="5.889999866485596" hidden="0" customWidth="1"/>
  </x:cols>
  <x:sheetData>
    <x:row r="1" ht="18" hidden="0" customHeight="1">
      <x:c r="A1" s="8" t="str">
        <x:v>PMR 訂單與成本明細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</x:row>
    <x:row r="2" ht="15" hidden="0" customHeight="1">
      <x:c r="A2" s="9" t="str">
        <x:v>黃色欄位可由客服輸入或从后端同步；白色欄位由公式計算。未付款訂單保留，但不計入月結。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</x:row>
    <x:row r="3"/>
    <x:row r="4" ht="15" hidden="0" customHeight="1">
      <x:c r="A4" s="19" t="str">
        <x:v>結算月份</x:v>
      </x:c>
      <x:c r="B4" s="19" t="str">
        <x:v>訂單編號</x:v>
      </x:c>
      <x:c r="C4" s="19" t="str">
        <x:v>客戶編號</x:v>
      </x:c>
      <x:c r="D4" s="19" t="str">
        <x:v>客戶姓名</x:v>
      </x:c>
      <x:c r="E4" s="19" t="str">
        <x:v>LINE 名稱</x:v>
      </x:c>
      <x:c r="F4" s="19" t="str">
        <x:v>專案代碼</x:v>
      </x:c>
      <x:c r="G4" s="19" t="str">
        <x:v>訂單狀態</x:v>
      </x:c>
      <x:c r="H4" s="19" t="str">
        <x:v>付款狀態</x:v>
      </x:c>
      <x:c r="I4" s="19" t="str">
        <x:v>補件狀態</x:v>
      </x:c>
      <x:c r="J4" s="19" t="str">
        <x:v>出票狀態</x:v>
      </x:c>
      <x:c r="K4" s="19" t="str">
        <x:v>負責客服</x:v>
      </x:c>
      <x:c r="L4" s="19" t="str">
        <x:v>介紹人</x:v>
      </x:c>
      <x:c r="M4" s="19" t="str">
        <x:v>資源方</x:v>
      </x:c>
      <x:c r="N4" s="19" t="str">
        <x:v>購買張數</x:v>
      </x:c>
      <x:c r="O4" s="19" t="str">
        <x:v>處理中</x:v>
      </x:c>
      <x:c r="P4" s="19" t="str">
        <x:v>已出票</x:v>
      </x:c>
      <x:c r="Q4" s="19" t="str">
        <x:v>退款</x:v>
      </x:c>
      <x:c r="R4" s="19" t="str">
        <x:v>可使用</x:v>
      </x:c>
      <x:c r="S4" s="19" t="str">
        <x:v>實收金額</x:v>
      </x:c>
      <x:c r="T4" s="19" t="str">
        <x:v>方案成本</x:v>
      </x:c>
      <x:c r="U4" s="19" t="str">
        <x:v>客服費</x:v>
      </x:c>
      <x:c r="V4" s="19" t="str">
        <x:v>加購收入</x:v>
      </x:c>
      <x:c r="W4" s="19" t="str">
        <x:v>加購成本</x:v>
      </x:c>
      <x:c r="X4" s="19" t="str">
        <x:v>加購毛利</x:v>
      </x:c>
      <x:c r="Y4" s="19" t="str">
        <x:v>訂單毛利</x:v>
      </x:c>
      <x:c r="Z4" s="19" t="str">
        <x:v>介紹人分潤</x:v>
      </x:c>
      <x:c r="AA4" s="19" t="str">
        <x:v>資源方分潤</x:v>
      </x:c>
      <x:c r="AB4" s="19" t="str">
        <x:v>未分配差額</x:v>
      </x:c>
      <x:c r="AC4" s="19" t="str">
        <x:v>計入月結</x:v>
      </x:c>
    </x:row>
    <x:row r="5" ht="15" hidden="0" customHeight="1">
      <x:c r="A5" s="32" t="n">
        <x:v>46266</x:v>
      </x:c>
      <x:c r="B5" s="33" t="str">
        <x:v>PMR-260913-018</x:v>
      </x:c>
      <x:c r="C5" s="33" t="str">
        <x:v>CUS-0001</x:v>
      </x:c>
      <x:c r="D5" s="33" t="str">
        <x:v>王小姐</x:v>
      </x:c>
      <x:c r="E5" s="33" t="str">
        <x:v>Yvonne</x:v>
      </x:c>
      <x:c r="F5" s="33" t="str">
        <x:v>0913A</x:v>
      </x:c>
      <x:c r="G5" s="33" t="str">
        <x:v>資料補件中</x:v>
      </x:c>
      <x:c r="H5" s="33" t="str">
        <x:v>已確認</x:v>
      </x:c>
      <x:c r="I5" s="33" t="str">
        <x:v>缺 1 份護照</x:v>
      </x:c>
      <x:c r="J5" s="33" t="str">
        <x:v>尚未出票</x:v>
      </x:c>
      <x:c r="K5" s="33" t="str">
        <x:v>Mina</x:v>
      </x:c>
      <x:c r="L5" s="33" t="str">
        <x:v>旅行好友</x:v>
      </x:c>
      <x:c r="M5" s="33" t="str">
        <x:v>傑評</x:v>
      </x:c>
      <x:c r="N5" s="34" t="n">
        <x:v>8</x:v>
      </x:c>
      <x:c r="O5" s="34" t="n">
        <x:v>1</x:v>
      </x:c>
      <x:c r="P5" s="34" t="n">
        <x:v>2</x:v>
      </x:c>
      <x:c r="Q5" s="34" t="n">
        <x:v>0</x:v>
      </x:c>
      <x:c r="R5" s="35" t="n">
        <x:f>IF(H5="已確認",MAX(0,N5-O5-P5-Q5),0)</x:f>
        <x:v>5</x:v>
      </x:c>
      <x:c r="S5" s="36" t="n">
        <x:v>65776</x:v>
      </x:c>
      <x:c r="T5" s="36" t="n">
        <x:v>40000</x:v>
      </x:c>
      <x:c r="U5" s="36" t="n">
        <x:v>4000</x:v>
      </x:c>
      <x:c r="V5" s="36" t="n">
        <x:v>5000</x:v>
      </x:c>
      <x:c r="W5" s="36" t="n">
        <x:v>2800</x:v>
      </x:c>
      <x:c r="X5" s="37" t="n">
        <x:f>IF(AC5="是",V5-W5,0)</x:f>
        <x:v>2200</x:v>
      </x:c>
      <x:c r="Y5" s="37" t="n">
        <x:f>IF(AC5="是",S5-T5-U5+X5,0)</x:f>
        <x:v>23976</x:v>
      </x:c>
      <x:c r="Z5" s="36" t="n">
        <x:v>10888</x:v>
      </x:c>
      <x:c r="AA5" s="36" t="n">
        <x:v>10888</x:v>
      </x:c>
      <x:c r="AB5" s="37" t="n">
        <x:f>IF(AC5="是",Y5-Z5-AA5,0)</x:f>
        <x:v>2200</x:v>
      </x:c>
      <x:c r="AC5" s="33" t="str">
        <x:v>是</x:v>
      </x:c>
    </x:row>
    <x:row r="6" ht="15" hidden="0" customHeight="1">
      <x:c r="A6" s="32" t="n">
        <x:v>46266</x:v>
      </x:c>
      <x:c r="B6" s="33" t="str">
        <x:v>PMR-260914-021</x:v>
      </x:c>
      <x:c r="C6" s="33" t="str">
        <x:v>CUS-0002</x:v>
      </x:c>
      <x:c r="D6" s="33" t="str">
        <x:v>黃先生</x:v>
      </x:c>
      <x:c r="E6" s="33" t="str">
        <x:v>豆豆黃 Eric</x:v>
      </x:c>
      <x:c r="F6" s="33" t="str">
        <x:v>0914B</x:v>
      </x:c>
      <x:c r="G6" s="33" t="str">
        <x:v>等待付款</x:v>
      </x:c>
      <x:c r="H6" s="33" t="str">
        <x:v>待匯款</x:v>
      </x:c>
      <x:c r="I6" s="33" t="str">
        <x:v>尚未補件</x:v>
      </x:c>
      <x:c r="J6" s="33" t="str">
        <x:v>尚未出票</x:v>
      </x:c>
      <x:c r="K6" s="33" t="str">
        <x:v>Ary</x:v>
      </x:c>
      <x:c r="L6" s="33" t="str"/>
      <x:c r="M6" s="33" t="str">
        <x:v>傑評</x:v>
      </x:c>
      <x:c r="N6" s="34" t="n">
        <x:v>4</x:v>
      </x:c>
      <x:c r="O6" s="34" t="n">
        <x:v>0</x:v>
      </x:c>
      <x:c r="P6" s="34" t="n">
        <x:v>0</x:v>
      </x:c>
      <x:c r="Q6" s="34" t="n">
        <x:v>0</x:v>
      </x:c>
      <x:c r="R6" s="35" t="n">
        <x:f>IF(H6="已確認",MAX(0,N6-O6-P6-Q6),0)</x:f>
        <x:v>0</x:v>
      </x:c>
      <x:c r="S6" s="36" t="n">
        <x:v>0</x:v>
      </x:c>
      <x:c r="T6" s="36" t="n">
        <x:v>44000</x:v>
      </x:c>
      <x:c r="U6" s="36" t="n">
        <x:v>2000</x:v>
      </x:c>
      <x:c r="V6" s="36" t="n">
        <x:v>0</x:v>
      </x:c>
      <x:c r="W6" s="36" t="n">
        <x:v>0</x:v>
      </x:c>
      <x:c r="X6" s="37" t="n">
        <x:f>IF(AC6="是",V6-W6,0)</x:f>
        <x:v>0</x:v>
      </x:c>
      <x:c r="Y6" s="37" t="n">
        <x:f>IF(AC6="是",S6-T6-U6+X6,0)</x:f>
        <x:v>0</x:v>
      </x:c>
      <x:c r="Z6" s="36" t="n">
        <x:v>0</x:v>
      </x:c>
      <x:c r="AA6" s="36" t="n">
        <x:v>33888</x:v>
      </x:c>
      <x:c r="AB6" s="37" t="n">
        <x:f>IF(AC6="是",Y6-Z6-AA6,0)</x:f>
        <x:v>0</x:v>
      </x:c>
      <x:c r="AC6" s="33" t="str">
        <x:v>否</x:v>
      </x:c>
    </x:row>
    <x:row r="7" ht="15" hidden="0" customHeight="1">
      <x:c r="A7" s="32" t="n">
        <x:v>46266</x:v>
      </x:c>
      <x:c r="B7" s="33" t="str">
        <x:v>PMR-260914-022</x:v>
      </x:c>
      <x:c r="C7" s="33" t="str">
        <x:v>CUS-0003</x:v>
      </x:c>
      <x:c r="D7" s="33" t="str">
        <x:v>林小姐</x:v>
      </x:c>
      <x:c r="E7" s="33" t="str">
        <x:v>Alma</x:v>
      </x:c>
      <x:c r="F7" s="33" t="str">
        <x:v>0914C</x:v>
      </x:c>
      <x:c r="G7" s="33" t="str">
        <x:v>許願航班待補</x:v>
      </x:c>
      <x:c r="H7" s="33" t="str">
        <x:v>已確認</x:v>
      </x:c>
      <x:c r="I7" s="33" t="str">
        <x:v>航班待補</x:v>
      </x:c>
      <x:c r="J7" s="33" t="str">
        <x:v>待選航班</x:v>
      </x:c>
      <x:c r="K7" s="33" t="str">
        <x:v>Mina</x:v>
      </x:c>
      <x:c r="L7" s="33" t="str">
        <x:v>Penny</x:v>
      </x:c>
      <x:c r="M7" s="33" t="str">
        <x:v>傑評</x:v>
      </x:c>
      <x:c r="N7" s="34" t="n">
        <x:v>2</x:v>
      </x:c>
      <x:c r="O7" s="34" t="n">
        <x:v>2</x:v>
      </x:c>
      <x:c r="P7" s="34" t="n">
        <x:v>0</x:v>
      </x:c>
      <x:c r="Q7" s="34" t="n">
        <x:v>0</x:v>
      </x:c>
      <x:c r="R7" s="35" t="n">
        <x:f>IF(H7="已確認",MAX(0,N7-O7-P7-Q7),0)</x:f>
        <x:v>0</x:v>
      </x:c>
      <x:c r="S7" s="36" t="n">
        <x:v>29776</x:v>
      </x:c>
      <x:c r="T7" s="36" t="n">
        <x:v>19800</x:v>
      </x:c>
      <x:c r="U7" s="36" t="n">
        <x:v>1000</x:v>
      </x:c>
      <x:c r="V7" s="36" t="n">
        <x:v>2000</x:v>
      </x:c>
      <x:c r="W7" s="36" t="n">
        <x:v>1000</x:v>
      </x:c>
      <x:c r="X7" s="37" t="n">
        <x:f>IF(AC7="是",V7-W7,0)</x:f>
        <x:v>1000</x:v>
      </x:c>
      <x:c r="Y7" s="37" t="n">
        <x:f>IF(AC7="是",S7-T7-U7+X7,0)</x:f>
        <x:v>9976</x:v>
      </x:c>
      <x:c r="Z7" s="36" t="n">
        <x:v>4488</x:v>
      </x:c>
      <x:c r="AA7" s="36" t="n">
        <x:v>4488</x:v>
      </x:c>
      <x:c r="AB7" s="37" t="n">
        <x:f>IF(AC7="是",Y7-Z7-AA7,0)</x:f>
        <x:v>1000</x:v>
      </x:c>
      <x:c r="AC7" s="33" t="str">
        <x:v>是</x:v>
      </x:c>
    </x:row>
    <x:row r="8" ht="15" hidden="0" customHeight="1">
      <x:c r="A8" s="38" t="n">
        <x:v>46266</x:v>
      </x:c>
      <x:c r="B8" s="39" t="str">
        <x:v>PMR-260912-014</x:v>
      </x:c>
      <x:c r="C8" s="39" t="str">
        <x:v>CUS-0004</x:v>
      </x:c>
      <x:c r="D8" s="39" t="str">
        <x:v>陳小姐</x:v>
      </x:c>
      <x:c r="E8" s="39" t="str">
        <x:v>璦 penny</x:v>
      </x:c>
      <x:c r="F8" s="39" t="str">
        <x:v>0912B</x:v>
      </x:c>
      <x:c r="G8" s="39" t="str">
        <x:v>準備出票</x:v>
      </x:c>
      <x:c r="H8" s="39" t="str">
        <x:v>已確認</x:v>
      </x:c>
      <x:c r="I8" s="39" t="str">
        <x:v>資料已齊</x:v>
      </x:c>
      <x:c r="J8" s="39" t="str">
        <x:v>準備出票</x:v>
      </x:c>
      <x:c r="K8" s="39" t="str">
        <x:v>Ary</x:v>
      </x:c>
      <x:c r="L8" s="39" t="str">
        <x:v>Ary</x:v>
      </x:c>
      <x:c r="M8" s="39" t="str">
        <x:v>傑評</x:v>
      </x:c>
      <x:c r="N8" s="40" t="n">
        <x:v>4</x:v>
      </x:c>
      <x:c r="O8" s="40" t="n">
        <x:v>4</x:v>
      </x:c>
      <x:c r="P8" s="40" t="n">
        <x:v>0</x:v>
      </x:c>
      <x:c r="Q8" s="40" t="n">
        <x:v>0</x:v>
      </x:c>
      <x:c r="R8" s="41" t="n">
        <x:f>IF(H8="已確認",MAX(0,N8-O8-P8-Q8),0)</x:f>
        <x:v>0</x:v>
      </x:c>
      <x:c r="S8" s="42" t="n">
        <x:v>76999</x:v>
      </x:c>
      <x:c r="T8" s="42" t="n">
        <x:v>44000</x:v>
      </x:c>
      <x:c r="U8" s="42" t="n">
        <x:v>2000</x:v>
      </x:c>
      <x:c r="V8" s="42" t="n">
        <x:v>0</x:v>
      </x:c>
      <x:c r="W8" s="42" t="n">
        <x:v>0</x:v>
      </x:c>
      <x:c r="X8" s="43" t="n">
        <x:f>IF(AC8="是",V8-W8,0)</x:f>
        <x:v>0</x:v>
      </x:c>
      <x:c r="Y8" s="43" t="n">
        <x:f>IF(AC8="是",S8-T8-U8+X8,0)</x:f>
        <x:v>30999</x:v>
      </x:c>
      <x:c r="Z8" s="42" t="n">
        <x:v>15499</x:v>
      </x:c>
      <x:c r="AA8" s="42" t="n">
        <x:v>15499</x:v>
      </x:c>
      <x:c r="AB8" s="43" t="n">
        <x:f>IF(AC8="是",Y8-Z8-AA8,0)</x:f>
        <x:v>1</x:v>
      </x:c>
      <x:c r="AC8" s="39" t="str">
        <x:v>是</x:v>
      </x:c>
    </x:row>
  </x:sheetData>
  <x:mergeCells>
    <x:mergeCell ref="A1:AC1"/>
    <x:mergeCell ref="A2:AC2"/>
  </x:mergeCells>
  <x:conditionalFormatting sqref="AC5:AC100">
    <x:cfRule type="containsText" dxfId="0" priority="1" operator="containsText" text="否"/>
  </x:conditionalFormatting>
  <x:dataValidations count="2">
    <x:dataValidation type="list" sqref="H5:H100">
      <x:formula1>"待客服確認,待匯款,待核對,已確認,退款處理中,已退款"</x:formula1>
    </x:dataValidation>
    <x:dataValidation type="list" sqref="AC5:AC100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65A7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.889999866485596" hidden="0" customWidth="1"/>
    <x:col min="2" max="2" width="8.670000076293945" hidden="0" customWidth="1"/>
    <x:col min="3" max="3" width="7.329999923706055" hidden="0" customWidth="1"/>
    <x:col min="4" max="4" width="5.889999866485596" hidden="0" customWidth="1"/>
    <x:col min="5" max="5" width="5.889999866485596" hidden="0" customWidth="1"/>
    <x:col min="6" max="6" width="24" hidden="0" customWidth="1"/>
  </x:cols>
  <x:sheetData>
    <x:row r="1" ht="18" hidden="0" customHeight="1">
      <x:c r="A1" s="8" t="str">
        <x:v>PMR 應付分潤明細</x:v>
      </x:c>
      <x:c r="B1" s="8"/>
      <x:c r="C1" s="8"/>
      <x:c r="D1" s="8"/>
      <x:c r="E1" s="8"/>
      <x:c r="F1" s="8"/>
    </x:row>
    <x:row r="2" ht="15" hidden="0" customHeight="1">
      <x:c r="A2" s="9" t="str">
        <x:v>结算后填写付款状态与付款日期。服务费、介绍人分润与资源方分润分开列示。</x:v>
      </x:c>
      <x:c r="B2" s="9"/>
      <x:c r="C2" s="9"/>
      <x:c r="D2" s="9"/>
      <x:c r="E2" s="9"/>
      <x:c r="F2" s="9"/>
    </x:row>
    <x:row r="3"/>
    <x:row r="4" ht="15" hidden="0" customHeight="1">
      <x:c r="A4" s="56" t="str">
        <x:v>結算月份</x:v>
      </x:c>
      <x:c r="B4" s="56" t="str">
        <x:v>收款人</x:v>
      </x:c>
      <x:c r="C4" s="56" t="str">
        <x:v>類型</x:v>
      </x:c>
      <x:c r="D4" s="56" t="str">
        <x:v>應付金額</x:v>
      </x:c>
      <x:c r="E4" s="56" t="str">
        <x:v>付款狀態</x:v>
      </x:c>
      <x:c r="F4" s="56" t="str">
        <x:v>付款日期／備註</x:v>
      </x:c>
    </x:row>
    <x:row r="5" ht="15" hidden="0" customHeight="1">
      <x:c r="A5" s="20" t="n">
        <x:v>46266</x:v>
      </x:c>
      <x:c r="B5" s="21" t="str">
        <x:v>Mina</x:v>
      </x:c>
      <x:c r="C5" s="21" t="str">
        <x:v>客服費</x:v>
      </x:c>
      <x:c r="D5" s="25" t="n">
        <x:f>SUMIFS('訂單明細'!$U$5:$U$100,'訂單明細'!$A$5:$A$100,$A5,'訂單明細'!$K$5:$K$100,$B5,'訂單明細'!$AC$5:$AC$100,"是")</x:f>
        <x:v>5000</x:v>
      </x:c>
      <x:c r="E5" s="21" t="str">
        <x:v>未支付</x:v>
      </x:c>
      <x:c r="F5" s="21"/>
    </x:row>
    <x:row r="6" ht="15" hidden="0" customHeight="1">
      <x:c r="A6" s="20" t="n">
        <x:v>46266</x:v>
      </x:c>
      <x:c r="B6" s="21" t="str">
        <x:v>Ary</x:v>
      </x:c>
      <x:c r="C6" s="21" t="str">
        <x:v>客服費</x:v>
      </x:c>
      <x:c r="D6" s="25" t="n">
        <x:f>SUMIFS('訂單明細'!$U$5:$U$100,'訂單明細'!$A$5:$A$100,$A6,'訂單明細'!$K$5:$K$100,$B6,'訂單明細'!$AC$5:$AC$100,"是")</x:f>
        <x:v>2000</x:v>
      </x:c>
      <x:c r="E6" s="21" t="str">
        <x:v>未支付</x:v>
      </x:c>
      <x:c r="F6" s="21"/>
    </x:row>
    <x:row r="7" ht="15" hidden="0" customHeight="1">
      <x:c r="A7" s="20" t="n">
        <x:v>46266</x:v>
      </x:c>
      <x:c r="B7" s="21" t="str">
        <x:v>旅行好友</x:v>
      </x:c>
      <x:c r="C7" s="21" t="str">
        <x:v>介紹人分潤</x:v>
      </x:c>
      <x:c r="D7" s="25" t="n">
        <x:f>SUMIFS('訂單明細'!$Z$5:$Z$100,'訂單明細'!$A$5:$A$100,$A7,'訂單明細'!$L$5:$L$100,$B7,'訂單明細'!$AC$5:$AC$100,"是")</x:f>
        <x:v>10888</x:v>
      </x:c>
      <x:c r="E7" s="21" t="str">
        <x:v>未支付</x:v>
      </x:c>
      <x:c r="F7" s="21"/>
    </x:row>
    <x:row r="8" ht="15" hidden="0" customHeight="1">
      <x:c r="A8" s="20" t="n">
        <x:v>46266</x:v>
      </x:c>
      <x:c r="B8" s="21" t="str">
        <x:v>Penny</x:v>
      </x:c>
      <x:c r="C8" s="21" t="str">
        <x:v>介紹人分潤</x:v>
      </x:c>
      <x:c r="D8" s="25" t="n">
        <x:f>SUMIFS('訂單明細'!$Z$5:$Z$100,'訂單明細'!$A$5:$A$100,$A8,'訂單明細'!$L$5:$L$100,$B8,'訂單明細'!$AC$5:$AC$100,"是")</x:f>
        <x:v>4488</x:v>
      </x:c>
      <x:c r="E8" s="21" t="str">
        <x:v>未支付</x:v>
      </x:c>
      <x:c r="F8" s="21"/>
    </x:row>
    <x:row r="9" ht="15" hidden="0" customHeight="1">
      <x:c r="A9" s="20" t="n">
        <x:v>46266</x:v>
      </x:c>
      <x:c r="B9" s="21" t="str">
        <x:v>Ary</x:v>
      </x:c>
      <x:c r="C9" s="21" t="str">
        <x:v>介紹人分潤</x:v>
      </x:c>
      <x:c r="D9" s="25" t="n">
        <x:f>SUMIFS('訂單明細'!$Z$5:$Z$100,'訂單明細'!$A$5:$A$100,$A9,'訂單明細'!$L$5:$L$100,$B9,'訂單明細'!$AC$5:$AC$100,"是")</x:f>
        <x:v>15499</x:v>
      </x:c>
      <x:c r="E9" s="21" t="str">
        <x:v>未支付</x:v>
      </x:c>
      <x:c r="F9" s="21"/>
    </x:row>
    <x:row r="10" ht="15" hidden="0" customHeight="1">
      <x:c r="A10" s="26" t="n">
        <x:v>46266</x:v>
      </x:c>
      <x:c r="B10" s="27" t="str">
        <x:v>傑評／資源方</x:v>
      </x:c>
      <x:c r="C10" s="27" t="str">
        <x:v>資源方分潤</x:v>
      </x:c>
      <x:c r="D10" s="31" t="n">
        <x:f>SUMIFS('訂單明細'!$AA$5:$AA$100,'訂單明細'!$A$5:$A$100,$A10,'訂單明細'!$AC$5:$AC$100,"是")</x:f>
        <x:v>30875</x:v>
      </x:c>
      <x:c r="E10" s="27" t="str">
        <x:v>未支付</x:v>
      </x:c>
      <x:c r="F10" s="27"/>
    </x:row>
  </x:sheetData>
  <x:mergeCells>
    <x:mergeCell ref="A1:F1"/>
    <x:mergeCell ref="A2:F2"/>
  </x:mergeCells>
  <x:conditionalFormatting sqref="E5:E100">
    <x:cfRule type="containsText" dxfId="1" priority="1" operator="containsText" text="未支付"/>
    <x:cfRule type="containsText" dxfId="2" priority="2" operator="containsText" text="已支付"/>
  </x:conditionalFormatting>
  <x:dataValidations count="1">
    <x:dataValidation type="list" sqref="E5:E100">
      <x:formula1>"未支付,已支付,暂缓"</x:formula1>
    </x:dataValidation>
  </x:dataValidations>
  <x:pageMargins left="0.7" right="0.7" top="0.75" bottom="0.75" header="0.3" footer="0.3"/>
</x:worksheet>
</file>